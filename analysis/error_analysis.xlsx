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general-ner-annotation\analysis\"/>
    </mc:Choice>
  </mc:AlternateContent>
  <xr:revisionPtr revIDLastSave="0" documentId="13_ncr:1_{A1ACA3E2-8F02-41AE-8DBB-19A0F4DEE0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neral" sheetId="1" r:id="rId1"/>
    <sheet name="simples" sheetId="3" r:id="rId2"/>
    <sheet name="erro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D3" i="3"/>
  <c r="G3" i="3" s="1"/>
  <c r="F3" i="3"/>
  <c r="I3" i="3" s="1"/>
  <c r="E3" i="3"/>
  <c r="H3" i="3" s="1"/>
  <c r="F2" i="3"/>
  <c r="E2" i="3"/>
  <c r="H2" i="3" l="1"/>
  <c r="I2" i="3"/>
  <c r="G2" i="3"/>
</calcChain>
</file>

<file path=xl/sharedStrings.xml><?xml version="1.0" encoding="utf-8"?>
<sst xmlns="http://schemas.openxmlformats.org/spreadsheetml/2006/main" count="67" uniqueCount="32">
  <si>
    <t>Correct</t>
  </si>
  <si>
    <t>Wrong</t>
  </si>
  <si>
    <t>Missed</t>
  </si>
  <si>
    <t>Accuracy</t>
  </si>
  <si>
    <t>Round 1</t>
  </si>
  <si>
    <t>Round 2</t>
  </si>
  <si>
    <t>Round 3</t>
  </si>
  <si>
    <t>#</t>
  </si>
  <si>
    <t>Errors</t>
  </si>
  <si>
    <t>Missed entities</t>
  </si>
  <si>
    <t>Incorrect entity type</t>
  </si>
  <si>
    <t>Incorrect span selection</t>
  </si>
  <si>
    <t>Context misunderstanding</t>
  </si>
  <si>
    <t>Ambiguous entity inclusion</t>
  </si>
  <si>
    <t>Ambiguous class boundaries</t>
  </si>
  <si>
    <t>Sum</t>
  </si>
  <si>
    <t>Average</t>
  </si>
  <si>
    <t>Running Total</t>
  </si>
  <si>
    <t>Count</t>
  </si>
  <si>
    <t>Total edge cases</t>
  </si>
  <si>
    <t>Simples</t>
  </si>
  <si>
    <t>Training simples</t>
  </si>
  <si>
    <t>Testing simples</t>
  </si>
  <si>
    <t>Round</t>
  </si>
  <si>
    <t xml:space="preserve"> 1 and 2</t>
  </si>
  <si>
    <t>Accuracy %</t>
  </si>
  <si>
    <t>Objects</t>
  </si>
  <si>
    <t>Wrong Rate</t>
  </si>
  <si>
    <t>missed Rate</t>
  </si>
  <si>
    <t>guideline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</si>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</sst>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3" fillId="2" borderId="0" xfId="0" applyFont="1" applyFill="1"/>
    <xf numFmtId="9" fontId="0" fillId="0" borderId="1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Correct, worg and missed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general!$I$2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general!$J$1:$L$1</c:f>
              <c:strCache>
                <c:ptCount val="3"/>
                <c:pt idx="0">
                  <c:v>Correct</c:v>
                </c:pt>
                <c:pt idx="1">
                  <c:v>Wrong</c:v>
                </c:pt>
                <c:pt idx="2">
                  <c:v>Missed</c:v>
                </c:pt>
              </c:strCache>
            </c:strRef>
          </c:cat>
          <c:val>
            <c:numRef>
              <c:f>general!$J$2:$L$2</c:f>
              <c:numCache>
                <c:formatCode>General</c:formatCode>
                <c:ptCount val="3"/>
                <c:pt idx="0">
                  <c:v>89</c:v>
                </c:pt>
                <c:pt idx="1">
                  <c:v>43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F-4A41-83A6-BFD65478D8DD}"/>
            </c:ext>
          </c:extLst>
        </c:ser>
        <c:ser>
          <c:idx val="1"/>
          <c:order val="1"/>
          <c:tx>
            <c:strRef>
              <c:f>general!$I$3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general!$J$1:$L$1</c:f>
              <c:strCache>
                <c:ptCount val="3"/>
                <c:pt idx="0">
                  <c:v>Correct</c:v>
                </c:pt>
                <c:pt idx="1">
                  <c:v>Wrong</c:v>
                </c:pt>
                <c:pt idx="2">
                  <c:v>Missed</c:v>
                </c:pt>
              </c:strCache>
            </c:strRef>
          </c:cat>
          <c:val>
            <c:numRef>
              <c:f>general!$J$3:$L$3</c:f>
              <c:numCache>
                <c:formatCode>General</c:formatCode>
                <c:ptCount val="3"/>
                <c:pt idx="0">
                  <c:v>63</c:v>
                </c:pt>
                <c:pt idx="1">
                  <c:v>16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F-4A41-83A6-BFD65478D8DD}"/>
            </c:ext>
          </c:extLst>
        </c:ser>
        <c:ser>
          <c:idx val="2"/>
          <c:order val="2"/>
          <c:tx>
            <c:strRef>
              <c:f>general!$I$4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general!$J$1:$L$1</c:f>
              <c:strCache>
                <c:ptCount val="3"/>
                <c:pt idx="0">
                  <c:v>Correct</c:v>
                </c:pt>
                <c:pt idx="1">
                  <c:v>Wrong</c:v>
                </c:pt>
                <c:pt idx="2">
                  <c:v>Missed</c:v>
                </c:pt>
              </c:strCache>
            </c:strRef>
          </c:cat>
          <c:val>
            <c:numRef>
              <c:f>general!$J$4:$L$4</c:f>
              <c:numCache>
                <c:formatCode>General</c:formatCode>
                <c:ptCount val="3"/>
                <c:pt idx="0">
                  <c:v>100</c:v>
                </c:pt>
                <c:pt idx="1">
                  <c:v>31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F-4A41-83A6-BFD65478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06080192"/>
        <c:axId val="1157539615"/>
      </c:barChart>
      <c:catAx>
        <c:axId val="130608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39615"/>
        <c:crosses val="autoZero"/>
        <c:auto val="1"/>
        <c:lblAlgn val="ctr"/>
        <c:lblOffset val="100"/>
        <c:noMultiLvlLbl val="0"/>
      </c:catAx>
      <c:valAx>
        <c:axId val="115753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801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general!$B$1</c:f>
              <c:strCache>
                <c:ptCount val="1"/>
                <c:pt idx="0">
                  <c:v>Objects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general!$A$2:$A$4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general!$B$2:$B$4</c:f>
              <c:numCache>
                <c:formatCode>General</c:formatCode>
                <c:ptCount val="3"/>
                <c:pt idx="0">
                  <c:v>142</c:v>
                </c:pt>
                <c:pt idx="1">
                  <c:v>98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8-435A-8861-B6DB01655B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5550400"/>
        <c:axId val="1000771679"/>
      </c:barChart>
      <c:catAx>
        <c:axId val="12855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771679"/>
        <c:crosses val="autoZero"/>
        <c:auto val="1"/>
        <c:lblAlgn val="ctr"/>
        <c:lblOffset val="100"/>
        <c:noMultiLvlLbl val="0"/>
      </c:catAx>
      <c:valAx>
        <c:axId val="10007716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555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Errors Types as Per 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errors!$B$1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errors!$A$2:$A$7</c:f>
              <c:strCache>
                <c:ptCount val="6"/>
                <c:pt idx="0">
                  <c:v>Missed entities</c:v>
                </c:pt>
                <c:pt idx="1">
                  <c:v>Incorrect entity type</c:v>
                </c:pt>
                <c:pt idx="2">
                  <c:v>Incorrect span selection</c:v>
                </c:pt>
                <c:pt idx="3">
                  <c:v>Context misunderstanding</c:v>
                </c:pt>
                <c:pt idx="4">
                  <c:v>Ambiguous entity inclusion</c:v>
                </c:pt>
                <c:pt idx="5">
                  <c:v>Ambiguous class boundaries</c:v>
                </c:pt>
              </c:strCache>
            </c:strRef>
          </c:cat>
          <c:val>
            <c:numRef>
              <c:f>errors!$B$2:$B$7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18</c:v>
                </c:pt>
                <c:pt idx="3">
                  <c:v>1</c:v>
                </c:pt>
                <c:pt idx="4">
                  <c:v>3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D-4A54-B560-3A15450C88B0}"/>
            </c:ext>
          </c:extLst>
        </c:ser>
        <c:ser>
          <c:idx val="1"/>
          <c:order val="1"/>
          <c:tx>
            <c:strRef>
              <c:f>errors!$C$1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errors!$A$2:$A$7</c:f>
              <c:strCache>
                <c:ptCount val="6"/>
                <c:pt idx="0">
                  <c:v>Missed entities</c:v>
                </c:pt>
                <c:pt idx="1">
                  <c:v>Incorrect entity type</c:v>
                </c:pt>
                <c:pt idx="2">
                  <c:v>Incorrect span selection</c:v>
                </c:pt>
                <c:pt idx="3">
                  <c:v>Context misunderstanding</c:v>
                </c:pt>
                <c:pt idx="4">
                  <c:v>Ambiguous entity inclusion</c:v>
                </c:pt>
                <c:pt idx="5">
                  <c:v>Ambiguous class boundaries</c:v>
                </c:pt>
              </c:strCache>
            </c:strRef>
          </c:cat>
          <c:val>
            <c:numRef>
              <c:f>errors!$C$2:$C$7</c:f>
              <c:numCache>
                <c:formatCode>General</c:formatCode>
                <c:ptCount val="6"/>
                <c:pt idx="0">
                  <c:v>9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D-4A54-B560-3A15450C88B0}"/>
            </c:ext>
          </c:extLst>
        </c:ser>
        <c:ser>
          <c:idx val="2"/>
          <c:order val="2"/>
          <c:tx>
            <c:strRef>
              <c:f>errors!$D$1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errors!$A$2:$A$7</c:f>
              <c:strCache>
                <c:ptCount val="6"/>
                <c:pt idx="0">
                  <c:v>Missed entities</c:v>
                </c:pt>
                <c:pt idx="1">
                  <c:v>Incorrect entity type</c:v>
                </c:pt>
                <c:pt idx="2">
                  <c:v>Incorrect span selection</c:v>
                </c:pt>
                <c:pt idx="3">
                  <c:v>Context misunderstanding</c:v>
                </c:pt>
                <c:pt idx="4">
                  <c:v>Ambiguous entity inclusion</c:v>
                </c:pt>
                <c:pt idx="5">
                  <c:v>Ambiguous class boundaries</c:v>
                </c:pt>
              </c:strCache>
            </c:strRef>
          </c:cat>
          <c:val>
            <c:numRef>
              <c:f>errors!$D$2:$D$7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11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D-4A54-B560-3A15450C88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9481392"/>
        <c:axId val="1157530975"/>
      </c:barChart>
      <c:catAx>
        <c:axId val="12294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30975"/>
        <c:crosses val="autoZero"/>
        <c:auto val="1"/>
        <c:lblAlgn val="ctr"/>
        <c:lblOffset val="100"/>
        <c:noMultiLvlLbl val="0"/>
      </c:catAx>
      <c:valAx>
        <c:axId val="11575309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294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84259</xdr:colOff>
      <xdr:row>0</xdr:row>
      <xdr:rowOff>57151</xdr:rowOff>
    </xdr:from>
    <xdr:to>
      <xdr:col>13</xdr:col>
      <xdr:colOff>1047749</xdr:colOff>
      <xdr:row>15</xdr:row>
      <xdr:rowOff>73269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FE2AE6-0AA9-AD25-5914-EBC3951DF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98914</xdr:colOff>
      <xdr:row>5</xdr:row>
      <xdr:rowOff>159727</xdr:rowOff>
    </xdr:from>
    <xdr:to>
      <xdr:col>6</xdr:col>
      <xdr:colOff>959828</xdr:colOff>
      <xdr:row>15</xdr:row>
      <xdr:rowOff>7327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362211-D909-996D-B329-E8CB76E33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102577</xdr:colOff>
      <xdr:row>0</xdr:row>
      <xdr:rowOff>58615</xdr:rowOff>
    </xdr:from>
    <xdr:to>
      <xdr:col>18</xdr:col>
      <xdr:colOff>75468</xdr:colOff>
      <xdr:row>18</xdr:row>
      <xdr:rowOff>115766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1B2FC-CA68-4B34-8771-214A99DCD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130" zoomScaleNormal="130" workbookViewId="0">
      <selection activeCell="C19" sqref="C19"/>
    </sheetView>
  </sheetViews>
  <sheetFormatPr defaultColWidth="16.28515625" defaultRowHeight="15" x14ac:dyDescent="0.25"/>
  <cols>
    <col min="1" max="1" width="8.140625" style="1" bestFit="1" customWidth="1"/>
    <col min="2" max="2" width="7.7109375" style="1" bestFit="1" customWidth="1"/>
    <col min="3" max="3" width="7.5703125" style="1" bestFit="1" customWidth="1"/>
    <col min="4" max="5" width="7.42578125" style="1" bestFit="1" customWidth="1"/>
    <col min="6" max="6" width="18.5703125" style="1" customWidth="1"/>
    <col min="7" max="7" width="15.5703125" style="1" bestFit="1" customWidth="1"/>
    <col min="8" max="8" width="12.28515625" style="1" customWidth="1"/>
    <col min="9" max="9" width="26.5703125" style="1" bestFit="1" customWidth="1"/>
    <col min="10" max="12" width="8.140625" style="1" bestFit="1" customWidth="1"/>
    <col min="13" max="16384" width="16.28515625" style="1"/>
  </cols>
  <sheetData>
    <row r="1" spans="1:12" ht="16.5" customHeight="1" x14ac:dyDescent="0.25">
      <c r="A1" s="2" t="s">
        <v>7</v>
      </c>
      <c r="B1" s="2" t="s">
        <v>26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19</v>
      </c>
      <c r="I1" s="2" t="s">
        <v>7</v>
      </c>
      <c r="J1" s="2" t="s">
        <v>0</v>
      </c>
      <c r="K1" s="2" t="s">
        <v>1</v>
      </c>
      <c r="L1" s="2" t="s">
        <v>2</v>
      </c>
    </row>
    <row r="2" spans="1:12" x14ac:dyDescent="0.25">
      <c r="A2" s="3" t="s">
        <v>4</v>
      </c>
      <c r="B2" s="3">
        <v>142</v>
      </c>
      <c r="C2" s="3">
        <v>89</v>
      </c>
      <c r="D2" s="3">
        <v>43</v>
      </c>
      <c r="E2" s="3">
        <v>10</v>
      </c>
      <c r="F2" s="4">
        <v>0.62</v>
      </c>
      <c r="G2" s="3">
        <v>11</v>
      </c>
      <c r="I2" s="3" t="s">
        <v>4</v>
      </c>
      <c r="J2" s="3">
        <v>89</v>
      </c>
      <c r="K2" s="3">
        <v>43</v>
      </c>
      <c r="L2" s="3">
        <v>10</v>
      </c>
    </row>
    <row r="3" spans="1:12" x14ac:dyDescent="0.25">
      <c r="A3" s="3" t="s">
        <v>5</v>
      </c>
      <c r="B3" s="3">
        <v>98</v>
      </c>
      <c r="C3" s="3">
        <v>63</v>
      </c>
      <c r="D3" s="3">
        <v>16</v>
      </c>
      <c r="E3" s="3">
        <v>19</v>
      </c>
      <c r="F3" s="4">
        <v>0.64</v>
      </c>
      <c r="G3" s="3">
        <v>8</v>
      </c>
      <c r="I3" s="3" t="s">
        <v>5</v>
      </c>
      <c r="J3" s="3">
        <v>63</v>
      </c>
      <c r="K3" s="3">
        <v>16</v>
      </c>
      <c r="L3" s="3">
        <v>19</v>
      </c>
    </row>
    <row r="4" spans="1:12" x14ac:dyDescent="0.25">
      <c r="A4" s="3" t="s">
        <v>6</v>
      </c>
      <c r="B4" s="3">
        <v>134</v>
      </c>
      <c r="C4" s="3">
        <v>100</v>
      </c>
      <c r="D4" s="3">
        <v>31</v>
      </c>
      <c r="E4" s="3">
        <v>3</v>
      </c>
      <c r="F4" s="4">
        <v>0.746</v>
      </c>
      <c r="G4" s="3">
        <v>11</v>
      </c>
      <c r="I4" s="3" t="s">
        <v>6</v>
      </c>
      <c r="J4" s="3">
        <v>100</v>
      </c>
      <c r="K4" s="3">
        <v>31</v>
      </c>
      <c r="L4" s="3">
        <v>3</v>
      </c>
    </row>
    <row r="5" spans="1:12" hidden="1" x14ac:dyDescent="0.25">
      <c r="F5" s="4">
        <v>1</v>
      </c>
    </row>
  </sheetData>
  <phoneticPr fontId="4" type="noConversion"/>
  <conditionalFormatting sqref="F2:F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{6B70B862-6B1C-43A2-A53C-FFE6E68C5B98}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70B862-6B1C-43A2-A53C-FFE6E68C5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7AD8-9106-4B1D-B843-8257D13FEC07}">
  <dimension ref="A1:J4"/>
  <sheetViews>
    <sheetView zoomScale="115" zoomScaleNormal="115" workbookViewId="0">
      <selection activeCell="G3" sqref="G3"/>
    </sheetView>
  </sheetViews>
  <sheetFormatPr defaultColWidth="20.5703125" defaultRowHeight="15" x14ac:dyDescent="0.25"/>
  <cols>
    <col min="1" max="1" width="15.5703125" style="5" bestFit="1" customWidth="1"/>
    <col min="2" max="6" width="12.85546875" style="5" customWidth="1"/>
    <col min="7" max="7" width="15.85546875" style="5" customWidth="1"/>
    <col min="8" max="8" width="14.42578125" style="5" customWidth="1"/>
    <col min="9" max="9" width="16.28515625" style="5" customWidth="1"/>
    <col min="10" max="10" width="10.42578125" style="5" customWidth="1"/>
    <col min="11" max="16384" width="20.5703125" style="5"/>
  </cols>
  <sheetData>
    <row r="1" spans="1:10" ht="36.75" customHeight="1" x14ac:dyDescent="0.25">
      <c r="A1" s="7" t="s">
        <v>20</v>
      </c>
      <c r="B1" s="7" t="s">
        <v>23</v>
      </c>
      <c r="C1" s="7" t="s">
        <v>26</v>
      </c>
      <c r="D1" s="7" t="s">
        <v>0</v>
      </c>
      <c r="E1" s="7" t="s">
        <v>1</v>
      </c>
      <c r="F1" s="7" t="s">
        <v>2</v>
      </c>
      <c r="G1" s="7" t="s">
        <v>25</v>
      </c>
      <c r="H1" s="7" t="s">
        <v>27</v>
      </c>
      <c r="I1" s="7" t="s">
        <v>28</v>
      </c>
      <c r="J1" s="7" t="s">
        <v>29</v>
      </c>
    </row>
    <row r="2" spans="1:10" ht="36.75" customHeight="1" x14ac:dyDescent="0.25">
      <c r="A2" s="3" t="s">
        <v>21</v>
      </c>
      <c r="B2" s="3" t="s">
        <v>24</v>
      </c>
      <c r="C2" s="3">
        <f>general!B2+general!B3</f>
        <v>240</v>
      </c>
      <c r="D2" s="3">
        <f>general!C2+general!C3</f>
        <v>152</v>
      </c>
      <c r="E2" s="3">
        <f>general!D2+general!D3</f>
        <v>59</v>
      </c>
      <c r="F2" s="3">
        <f>general!E2+general!E3</f>
        <v>29</v>
      </c>
      <c r="G2" s="6">
        <f>D2/C2</f>
        <v>0.6333333333333333</v>
      </c>
      <c r="H2" s="6">
        <f>E2/C2</f>
        <v>0.24583333333333332</v>
      </c>
      <c r="I2" s="6">
        <f>F2/C2</f>
        <v>0.12083333333333333</v>
      </c>
      <c r="J2" s="6" t="s">
        <v>30</v>
      </c>
    </row>
    <row r="3" spans="1:10" ht="36.75" customHeight="1" x14ac:dyDescent="0.25">
      <c r="A3" s="3" t="s">
        <v>22</v>
      </c>
      <c r="B3" s="3">
        <v>3</v>
      </c>
      <c r="C3" s="3">
        <v>134</v>
      </c>
      <c r="D3" s="3">
        <f>general!C4</f>
        <v>100</v>
      </c>
      <c r="E3" s="3">
        <f>general!D4</f>
        <v>31</v>
      </c>
      <c r="F3" s="3">
        <f>general!E4</f>
        <v>3</v>
      </c>
      <c r="G3" s="6">
        <f>D3/C3</f>
        <v>0.74626865671641796</v>
      </c>
      <c r="H3" s="6">
        <f>E3/C3</f>
        <v>0.23134328358208955</v>
      </c>
      <c r="I3" s="6">
        <f>F3/C3</f>
        <v>2.2388059701492536E-2</v>
      </c>
      <c r="J3" s="6" t="s">
        <v>31</v>
      </c>
    </row>
    <row r="4" spans="1:10" ht="30" hidden="1" customHeight="1" x14ac:dyDescent="0.25">
      <c r="E4" s="3">
        <v>374</v>
      </c>
      <c r="F4" s="3">
        <v>374</v>
      </c>
      <c r="G4" s="6">
        <v>1</v>
      </c>
      <c r="H4" s="6">
        <v>1</v>
      </c>
      <c r="I4" s="6">
        <v>1</v>
      </c>
    </row>
  </sheetData>
  <conditionalFormatting sqref="E2:E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{CB5FF6AA-F262-486C-AD16-94CB1494BE65}</x14:id>
        </ext>
      </extLst>
    </cfRule>
  </conditionalFormatting>
  <conditionalFormatting sqref="F2:F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{ED4499F8-59A0-4F06-B842-D07D1A2E9CAF}</x14:id>
        </ext>
      </extLst>
    </cfRule>
  </conditionalFormatting>
  <conditionalFormatting sqref="G2:G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{3D76F156-E840-4A7B-B7FD-5A2DEFBA6BE5}</x14:id>
        </ext>
      </extLst>
    </cfRule>
  </conditionalFormatting>
  <conditionalFormatting sqref="H2:H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{F2999ED8-AC68-4108-A52C-B77BF333BE71}</x14:id>
        </ext>
      </extLst>
    </cfRule>
  </conditionalFormatting>
  <conditionalFormatting sqref="I2:I4 J2:J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{04227F25-5D5C-4D7B-8B20-E49C53A602AF}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FF6AA-F262-486C-AD16-94CB1494B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E2:E4</xm:sqref>
        </x14:conditionalFormatting>
        <x14:conditionalFormatting xmlns:xm="http://schemas.microsoft.com/office/excel/2006/main">
          <x14:cfRule type="dataBar" id="{ED4499F8-59A0-4F06-B842-D07D1A2E9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F2:F4</xm:sqref>
        </x14:conditionalFormatting>
        <x14:conditionalFormatting xmlns:xm="http://schemas.microsoft.com/office/excel/2006/main">
          <x14:cfRule type="dataBar" id="{3D76F156-E840-4A7B-B7FD-5A2DEFBA6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G2:G4</xm:sqref>
        </x14:conditionalFormatting>
        <x14:conditionalFormatting xmlns:xm="http://schemas.microsoft.com/office/excel/2006/main">
          <x14:cfRule type="dataBar" id="{F2999ED8-AC68-4108-A52C-B77BF333B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H2:H4</xm:sqref>
        </x14:conditionalFormatting>
        <x14:conditionalFormatting xmlns:xm="http://schemas.microsoft.com/office/excel/2006/main">
          <x14:cfRule type="dataBar" id="{04227F25-5D5C-4D7B-8B20-E49C53A60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I2:I4 J2:J3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A239-0600-4813-A468-46302B1AEB6C}">
  <dimension ref="A1:D7"/>
  <sheetViews>
    <sheetView zoomScaleNormal="100" workbookViewId="0">
      <selection activeCell="C12" sqref="C12"/>
    </sheetView>
  </sheetViews>
  <sheetFormatPr defaultRowHeight="15" x14ac:dyDescent="0.25"/>
  <cols>
    <col min="1" max="1" width="26.5703125" style="5" bestFit="1" customWidth="1"/>
    <col min="2" max="2" width="8.140625" style="5" bestFit="1" customWidth="1"/>
    <col min="3" max="3" width="8.85546875" style="5" customWidth="1"/>
    <col min="4" max="4" width="8.42578125" style="5" customWidth="1"/>
    <col min="5" max="16384" width="9.140625" style="5"/>
  </cols>
  <sheetData>
    <row r="1" spans="1:4" x14ac:dyDescent="0.25">
      <c r="A1" s="2" t="s">
        <v>8</v>
      </c>
      <c r="B1" s="2" t="s">
        <v>4</v>
      </c>
      <c r="C1" s="2" t="s">
        <v>5</v>
      </c>
      <c r="D1" s="2" t="s">
        <v>6</v>
      </c>
    </row>
    <row r="2" spans="1:4" x14ac:dyDescent="0.25">
      <c r="A2" s="3" t="s">
        <v>9</v>
      </c>
      <c r="B2" s="3">
        <v>10</v>
      </c>
      <c r="C2" s="3">
        <v>9</v>
      </c>
      <c r="D2" s="3">
        <v>4</v>
      </c>
    </row>
    <row r="3" spans="1:4" x14ac:dyDescent="0.25">
      <c r="A3" s="3" t="s">
        <v>10</v>
      </c>
      <c r="B3" s="3">
        <v>3</v>
      </c>
      <c r="C3" s="3">
        <v>4</v>
      </c>
      <c r="D3" s="3">
        <v>1</v>
      </c>
    </row>
    <row r="4" spans="1:4" x14ac:dyDescent="0.25">
      <c r="A4" s="3" t="s">
        <v>11</v>
      </c>
      <c r="B4" s="3">
        <v>18</v>
      </c>
      <c r="C4" s="3">
        <v>6</v>
      </c>
      <c r="D4" s="3">
        <v>11</v>
      </c>
    </row>
    <row r="5" spans="1:4" x14ac:dyDescent="0.25">
      <c r="A5" s="3" t="s">
        <v>12</v>
      </c>
      <c r="B5" s="3">
        <v>1</v>
      </c>
      <c r="C5" s="3">
        <v>6</v>
      </c>
      <c r="D5" s="3">
        <v>2</v>
      </c>
    </row>
    <row r="6" spans="1:4" x14ac:dyDescent="0.25">
      <c r="A6" s="3" t="s">
        <v>13</v>
      </c>
      <c r="B6" s="3">
        <v>3</v>
      </c>
      <c r="C6" s="3">
        <v>5</v>
      </c>
      <c r="D6" s="3">
        <v>8</v>
      </c>
    </row>
    <row r="7" spans="1:4" x14ac:dyDescent="0.25">
      <c r="A7" s="3" t="s">
        <v>14</v>
      </c>
      <c r="B7" s="3">
        <v>18</v>
      </c>
      <c r="C7" s="3">
        <v>6</v>
      </c>
      <c r="D7" s="3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simples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Mohamed Mahmoud</cp:lastModifiedBy>
  <dcterms:created xsi:type="dcterms:W3CDTF">2015-06-05T18:17:20Z</dcterms:created>
  <dcterms:modified xsi:type="dcterms:W3CDTF">2026-09-15T13:58:27Z</dcterms:modified>
</cp:coreProperties>
</file>